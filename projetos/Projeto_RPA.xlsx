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_excel\projetos\"/>
    </mc:Choice>
  </mc:AlternateContent>
  <xr:revisionPtr revIDLastSave="0" documentId="13_ncr:1_{991F3E42-78AF-438D-B332-A379ADAEEDAB}" xr6:coauthVersionLast="47" xr6:coauthVersionMax="47" xr10:uidLastSave="{00000000-0000-0000-0000-000000000000}"/>
  <bookViews>
    <workbookView xWindow="-108" yWindow="-108" windowWidth="23256" windowHeight="12576" activeTab="2" xr2:uid="{83F5AD78-F129-4F6A-B43E-95E1ED397831}"/>
  </bookViews>
  <sheets>
    <sheet name="RPA-set2018" sheetId="1" r:id="rId1"/>
    <sheet name="RPA-out2018" sheetId="3" r:id="rId2"/>
    <sheet name="RPA-ano2018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/>
  <c r="F7" i="2"/>
  <c r="C7" i="2"/>
  <c r="E10" i="3"/>
  <c r="G9" i="3"/>
  <c r="F9" i="3"/>
  <c r="H9" i="3" s="1"/>
  <c r="H8" i="3"/>
  <c r="G8" i="3"/>
  <c r="F8" i="3"/>
  <c r="G7" i="3"/>
  <c r="F7" i="3"/>
  <c r="H7" i="3" s="1"/>
  <c r="G6" i="3"/>
  <c r="F6" i="3"/>
  <c r="H6" i="3" s="1"/>
  <c r="G5" i="3"/>
  <c r="G10" i="3" s="1"/>
  <c r="F5" i="3"/>
  <c r="H5" i="3" s="1"/>
  <c r="H10" i="3" s="1"/>
  <c r="D8" i="2"/>
  <c r="E8" i="2"/>
  <c r="F8" i="2"/>
  <c r="F6" i="2"/>
  <c r="E6" i="2"/>
  <c r="D6" i="2"/>
  <c r="C6" i="2"/>
  <c r="C8" i="2" s="1"/>
  <c r="H6" i="1"/>
  <c r="H7" i="1"/>
  <c r="H8" i="1"/>
  <c r="H9" i="1"/>
  <c r="H5" i="1"/>
  <c r="H10" i="1" s="1"/>
  <c r="F8" i="1"/>
  <c r="F9" i="1"/>
  <c r="G6" i="1"/>
  <c r="G7" i="1"/>
  <c r="G8" i="1"/>
  <c r="G9" i="1"/>
  <c r="G5" i="1"/>
  <c r="G10" i="1" s="1"/>
  <c r="F6" i="1"/>
  <c r="F7" i="1"/>
  <c r="F5" i="1"/>
  <c r="F10" i="1" s="1"/>
  <c r="E10" i="1"/>
  <c r="F10" i="3" l="1"/>
</calcChain>
</file>

<file path=xl/sharedStrings.xml><?xml version="1.0" encoding="utf-8"?>
<sst xmlns="http://schemas.openxmlformats.org/spreadsheetml/2006/main" count="47" uniqueCount="32">
  <si>
    <t xml:space="preserve">Relatório de pagamento de rpa </t>
  </si>
  <si>
    <t>MÊS</t>
  </si>
  <si>
    <t>ANO</t>
  </si>
  <si>
    <t>Setembro</t>
  </si>
  <si>
    <t>DATA</t>
  </si>
  <si>
    <t>NOME</t>
  </si>
  <si>
    <t>CPF</t>
  </si>
  <si>
    <t>VALOR LÍQUIDO 
A PAGAR</t>
  </si>
  <si>
    <t>Albert Einstein</t>
  </si>
  <si>
    <t>Thomas Edison</t>
  </si>
  <si>
    <t>Georde Lucas</t>
  </si>
  <si>
    <t>VALOR DO 
SERVIÇO</t>
  </si>
  <si>
    <t>INSS DA EMPRESA</t>
  </si>
  <si>
    <t xml:space="preserve">Descontado do autônomo </t>
  </si>
  <si>
    <t>Contribuição da empresa</t>
  </si>
  <si>
    <t>Total do período</t>
  </si>
  <si>
    <t>INSS
DESCONTADO</t>
  </si>
  <si>
    <t>Tabela de aliquota do INSS</t>
  </si>
  <si>
    <t>mês</t>
  </si>
  <si>
    <t>...</t>
  </si>
  <si>
    <t>setembro</t>
  </si>
  <si>
    <t>total</t>
  </si>
  <si>
    <t>Resumo anual de pagamento de rpa</t>
  </si>
  <si>
    <t>ano</t>
  </si>
  <si>
    <t>valor dos serviços</t>
  </si>
  <si>
    <t>inss descontado</t>
  </si>
  <si>
    <t>inss da empresa</t>
  </si>
  <si>
    <t>valor líquido pago</t>
  </si>
  <si>
    <t>Outubro</t>
  </si>
  <si>
    <t>Galileu Galilei</t>
  </si>
  <si>
    <t>Isaac newton</t>
  </si>
  <si>
    <t>Nicolau Copernico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</si>
</sst>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&quot;.&quot;000&quot;.&quot;000&quot;-&quot;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9" tint="-0.249977111117893"/>
      <name val="Arial"/>
      <family val="2"/>
    </font>
    <font>
      <b/>
      <sz val="10"/>
      <color theme="1"/>
      <name val="Arial"/>
      <family val="2"/>
    </font>
    <font>
      <sz val="10"/>
      <color theme="5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4" tint="-0.249977111117893"/>
      <name val="Arial"/>
      <family val="2"/>
    </font>
    <font>
      <sz val="14"/>
      <color theme="4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/>
    <xf numFmtId="0" fontId="2" fillId="0" borderId="0" xfId="0" applyFont="1"/>
    <xf numFmtId="164" fontId="2" fillId="0" borderId="1" xfId="0" applyNumberFormat="1" applyFont="1" applyBorder="1"/>
    <xf numFmtId="43" fontId="2" fillId="0" borderId="1" xfId="1" applyFont="1" applyBorder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9" fontId="2" fillId="0" borderId="1" xfId="3" applyFont="1" applyBorder="1"/>
    <xf numFmtId="43" fontId="4" fillId="0" borderId="1" xfId="1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4" fontId="4" fillId="0" borderId="6" xfId="2" applyFont="1" applyBorder="1" applyAlignment="1">
      <alignment horizontal="right" vertical="center"/>
    </xf>
    <xf numFmtId="44" fontId="4" fillId="0" borderId="8" xfId="2" applyFont="1" applyBorder="1" applyAlignment="1">
      <alignment horizontal="right" vertical="center"/>
    </xf>
    <xf numFmtId="44" fontId="4" fillId="0" borderId="7" xfId="2" applyFont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1" applyNumberFormat="1" applyFont="1" applyBorder="1"/>
    <xf numFmtId="2" fontId="6" fillId="0" borderId="1" xfId="1" applyNumberFormat="1" applyFont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D37-5013-4C47-BF75-01DCA823595B}">
  <dimension ref="B2:H14"/>
  <sheetViews>
    <sheetView zoomScaleNormal="100" workbookViewId="0">
      <selection activeCell="D12" sqref="D12"/>
    </sheetView>
  </sheetViews>
  <sheetFormatPr defaultRowHeight="28.8" customHeight="1" x14ac:dyDescent="0.25"/>
  <cols>
    <col min="1" max="1" width="8.88671875" style="2"/>
    <col min="2" max="2" width="27.21875" style="2" bestFit="1" customWidth="1"/>
    <col min="3" max="3" width="22.6640625" style="2" customWidth="1"/>
    <col min="4" max="4" width="20" style="2" customWidth="1"/>
    <col min="5" max="6" width="17.109375" style="2" customWidth="1"/>
    <col min="7" max="7" width="15.21875" style="2" customWidth="1"/>
    <col min="8" max="8" width="16" style="2" customWidth="1"/>
    <col min="9" max="16384" width="8.88671875" style="2"/>
  </cols>
  <sheetData>
    <row r="2" spans="2:8" ht="28.8" customHeight="1" x14ac:dyDescent="0.25">
      <c r="B2" s="13" t="s">
        <v>0</v>
      </c>
      <c r="C2" s="13"/>
      <c r="D2" s="13"/>
      <c r="E2" s="13"/>
      <c r="F2" s="13"/>
      <c r="G2" s="5" t="s">
        <v>1</v>
      </c>
      <c r="H2" s="5" t="s">
        <v>2</v>
      </c>
    </row>
    <row r="3" spans="2:8" ht="28.8" customHeight="1" x14ac:dyDescent="0.25">
      <c r="B3" s="13"/>
      <c r="C3" s="13"/>
      <c r="D3" s="13"/>
      <c r="E3" s="13"/>
      <c r="F3" s="13"/>
      <c r="G3" s="6" t="s">
        <v>3</v>
      </c>
      <c r="H3" s="6">
        <v>2018</v>
      </c>
    </row>
    <row r="4" spans="2:8" ht="39.6" x14ac:dyDescent="0.25">
      <c r="B4" s="5" t="s">
        <v>4</v>
      </c>
      <c r="C4" s="5" t="s">
        <v>5</v>
      </c>
      <c r="D4" s="5" t="s">
        <v>6</v>
      </c>
      <c r="E4" s="7" t="s">
        <v>11</v>
      </c>
      <c r="F4" s="19" t="s">
        <v>16</v>
      </c>
      <c r="G4" s="19" t="s">
        <v>12</v>
      </c>
      <c r="H4" s="19" t="s">
        <v>7</v>
      </c>
    </row>
    <row r="5" spans="2:8" ht="28.8" customHeight="1" x14ac:dyDescent="0.25">
      <c r="B5" s="8">
        <v>43344</v>
      </c>
      <c r="C5" s="9" t="s">
        <v>8</v>
      </c>
      <c r="D5" s="10">
        <v>4324422377</v>
      </c>
      <c r="E5" s="4">
        <v>1200</v>
      </c>
      <c r="F5" s="4">
        <f>$C$13*E5</f>
        <v>132</v>
      </c>
      <c r="G5" s="4">
        <f>E5*$C$14</f>
        <v>240</v>
      </c>
      <c r="H5" s="4">
        <f>E5-F5</f>
        <v>1068</v>
      </c>
    </row>
    <row r="6" spans="2:8" ht="28.8" customHeight="1" x14ac:dyDescent="0.25">
      <c r="B6" s="8">
        <v>43344</v>
      </c>
      <c r="C6" s="9" t="s">
        <v>9</v>
      </c>
      <c r="D6" s="10">
        <v>7545475477</v>
      </c>
      <c r="E6" s="4">
        <v>955</v>
      </c>
      <c r="F6" s="4">
        <f t="shared" ref="F6:F9" si="0">$C$13*E6</f>
        <v>105.05</v>
      </c>
      <c r="G6" s="4">
        <f t="shared" ref="G6:G9" si="1">E6*$C$14</f>
        <v>191</v>
      </c>
      <c r="H6" s="4">
        <f t="shared" ref="H6:H9" si="2">E6-F6</f>
        <v>849.95</v>
      </c>
    </row>
    <row r="7" spans="2:8" ht="28.8" customHeight="1" x14ac:dyDescent="0.25">
      <c r="B7" s="8">
        <v>43348</v>
      </c>
      <c r="C7" s="9" t="s">
        <v>10</v>
      </c>
      <c r="D7" s="10">
        <v>2532532535</v>
      </c>
      <c r="E7" s="4">
        <v>345</v>
      </c>
      <c r="F7" s="4">
        <f t="shared" si="0"/>
        <v>37.950000000000003</v>
      </c>
      <c r="G7" s="4">
        <f t="shared" si="1"/>
        <v>69</v>
      </c>
      <c r="H7" s="4">
        <f t="shared" si="2"/>
        <v>307.05</v>
      </c>
    </row>
    <row r="8" spans="2:8" ht="28.8" customHeight="1" x14ac:dyDescent="0.25">
      <c r="B8" s="1"/>
      <c r="C8" s="1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2:8" ht="28.8" customHeight="1" x14ac:dyDescent="0.25">
      <c r="B9" s="1"/>
      <c r="C9" s="1"/>
      <c r="D9" s="1"/>
      <c r="E9" s="4"/>
      <c r="F9" s="4">
        <f t="shared" si="0"/>
        <v>0</v>
      </c>
      <c r="G9" s="4">
        <f t="shared" si="1"/>
        <v>0</v>
      </c>
      <c r="H9" s="4">
        <f t="shared" si="2"/>
        <v>0</v>
      </c>
    </row>
    <row r="10" spans="2:8" ht="28.8" customHeight="1" x14ac:dyDescent="0.25">
      <c r="B10" s="16" t="s">
        <v>15</v>
      </c>
      <c r="C10" s="17"/>
      <c r="D10" s="18"/>
      <c r="E10" s="12">
        <f>SUM(E5:E9)</f>
        <v>2500</v>
      </c>
      <c r="F10" s="12">
        <f t="shared" ref="F10:H10" si="3">SUM(F5:F9)</f>
        <v>275</v>
      </c>
      <c r="G10" s="12">
        <f t="shared" si="3"/>
        <v>500</v>
      </c>
      <c r="H10" s="12">
        <f t="shared" si="3"/>
        <v>2225</v>
      </c>
    </row>
    <row r="12" spans="2:8" ht="28.8" customHeight="1" x14ac:dyDescent="0.25">
      <c r="B12" s="14" t="s">
        <v>17</v>
      </c>
      <c r="C12" s="15"/>
    </row>
    <row r="13" spans="2:8" ht="28.8" customHeight="1" x14ac:dyDescent="0.25">
      <c r="B13" s="1" t="s">
        <v>13</v>
      </c>
      <c r="C13" s="11">
        <v>0.11</v>
      </c>
    </row>
    <row r="14" spans="2:8" ht="36.6" customHeight="1" x14ac:dyDescent="0.25">
      <c r="B14" s="1" t="s">
        <v>14</v>
      </c>
      <c r="C14" s="11">
        <v>0.2</v>
      </c>
    </row>
  </sheetData>
  <mergeCells count="3">
    <mergeCell ref="B2:F3"/>
    <mergeCell ref="B10:D10"/>
    <mergeCell ref="B12:C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FD1-BA56-406A-AD7E-B83E0CEB029A}">
  <dimension ref="B2:H14"/>
  <sheetViews>
    <sheetView topLeftCell="A4" zoomScaleNormal="100" workbookViewId="0">
      <selection activeCell="E7" sqref="E7"/>
    </sheetView>
  </sheetViews>
  <sheetFormatPr defaultRowHeight="28.8" customHeight="1" x14ac:dyDescent="0.25"/>
  <cols>
    <col min="1" max="1" width="8.88671875" style="2"/>
    <col min="2" max="2" width="27.21875" style="2" bestFit="1" customWidth="1"/>
    <col min="3" max="3" width="22.6640625" style="2" customWidth="1"/>
    <col min="4" max="4" width="20" style="2" customWidth="1"/>
    <col min="5" max="6" width="17.109375" style="2" customWidth="1"/>
    <col min="7" max="7" width="15.21875" style="2" customWidth="1"/>
    <col min="8" max="8" width="16" style="2" customWidth="1"/>
    <col min="9" max="16384" width="8.88671875" style="2"/>
  </cols>
  <sheetData>
    <row r="2" spans="2:8" ht="28.8" customHeight="1" x14ac:dyDescent="0.25">
      <c r="B2" s="13" t="s">
        <v>0</v>
      </c>
      <c r="C2" s="13"/>
      <c r="D2" s="13"/>
      <c r="E2" s="13"/>
      <c r="F2" s="13"/>
      <c r="G2" s="5" t="s">
        <v>1</v>
      </c>
      <c r="H2" s="5" t="s">
        <v>2</v>
      </c>
    </row>
    <row r="3" spans="2:8" ht="28.8" customHeight="1" x14ac:dyDescent="0.25">
      <c r="B3" s="13"/>
      <c r="C3" s="13"/>
      <c r="D3" s="13"/>
      <c r="E3" s="13"/>
      <c r="F3" s="13"/>
      <c r="G3" s="6" t="s">
        <v>28</v>
      </c>
      <c r="H3" s="6">
        <v>2018</v>
      </c>
    </row>
    <row r="4" spans="2:8" ht="39.6" x14ac:dyDescent="0.25">
      <c r="B4" s="5" t="s">
        <v>4</v>
      </c>
      <c r="C4" s="5" t="s">
        <v>5</v>
      </c>
      <c r="D4" s="5" t="s">
        <v>6</v>
      </c>
      <c r="E4" s="7" t="s">
        <v>11</v>
      </c>
      <c r="F4" s="19" t="s">
        <v>16</v>
      </c>
      <c r="G4" s="19" t="s">
        <v>12</v>
      </c>
      <c r="H4" s="19" t="s">
        <v>7</v>
      </c>
    </row>
    <row r="5" spans="2:8" ht="28.8" customHeight="1" x14ac:dyDescent="0.25">
      <c r="B5" s="8">
        <v>43381</v>
      </c>
      <c r="C5" s="9" t="s">
        <v>29</v>
      </c>
      <c r="D5" s="10">
        <v>34523423477</v>
      </c>
      <c r="E5" s="4">
        <v>789</v>
      </c>
      <c r="F5" s="4">
        <f>$C$13*E5</f>
        <v>86.79</v>
      </c>
      <c r="G5" s="4">
        <f>E5*$C$14</f>
        <v>157.80000000000001</v>
      </c>
      <c r="H5" s="4">
        <f>E5-F5</f>
        <v>702.21</v>
      </c>
    </row>
    <row r="6" spans="2:8" ht="28.8" customHeight="1" x14ac:dyDescent="0.25">
      <c r="B6" s="8">
        <v>43382</v>
      </c>
      <c r="C6" s="9" t="s">
        <v>30</v>
      </c>
      <c r="D6" s="10">
        <v>74534423445</v>
      </c>
      <c r="E6" s="4">
        <v>1257</v>
      </c>
      <c r="F6" s="4">
        <f t="shared" ref="F6:F9" si="0">$C$13*E6</f>
        <v>138.27000000000001</v>
      </c>
      <c r="G6" s="4">
        <f t="shared" ref="G6:G9" si="1">E6*$C$14</f>
        <v>251.4</v>
      </c>
      <c r="H6" s="4">
        <f t="shared" ref="H6:H9" si="2">E6-F6</f>
        <v>1118.73</v>
      </c>
    </row>
    <row r="7" spans="2:8" ht="28.8" customHeight="1" x14ac:dyDescent="0.25">
      <c r="B7" s="8">
        <v>43383</v>
      </c>
      <c r="C7" s="9" t="s">
        <v>31</v>
      </c>
      <c r="D7" s="10">
        <v>34523423477</v>
      </c>
      <c r="E7" s="4">
        <v>345</v>
      </c>
      <c r="F7" s="4">
        <f t="shared" si="0"/>
        <v>37.950000000000003</v>
      </c>
      <c r="G7" s="4">
        <f t="shared" si="1"/>
        <v>69</v>
      </c>
      <c r="H7" s="4">
        <f t="shared" si="2"/>
        <v>307.05</v>
      </c>
    </row>
    <row r="8" spans="2:8" ht="28.8" customHeight="1" x14ac:dyDescent="0.25">
      <c r="B8" s="1"/>
      <c r="C8" s="1"/>
      <c r="D8" s="3"/>
      <c r="E8" s="4"/>
      <c r="F8" s="4">
        <f t="shared" si="0"/>
        <v>0</v>
      </c>
      <c r="G8" s="4">
        <f t="shared" si="1"/>
        <v>0</v>
      </c>
      <c r="H8" s="4">
        <f t="shared" si="2"/>
        <v>0</v>
      </c>
    </row>
    <row r="9" spans="2:8" ht="28.8" customHeight="1" x14ac:dyDescent="0.25">
      <c r="B9" s="1"/>
      <c r="C9" s="1"/>
      <c r="D9" s="1"/>
      <c r="E9" s="4"/>
      <c r="F9" s="4">
        <f t="shared" si="0"/>
        <v>0</v>
      </c>
      <c r="G9" s="4">
        <f t="shared" si="1"/>
        <v>0</v>
      </c>
      <c r="H9" s="4">
        <f t="shared" si="2"/>
        <v>0</v>
      </c>
    </row>
    <row r="10" spans="2:8" ht="28.8" customHeight="1" x14ac:dyDescent="0.25">
      <c r="B10" s="16" t="s">
        <v>15</v>
      </c>
      <c r="C10" s="17"/>
      <c r="D10" s="18"/>
      <c r="E10" s="12">
        <f>SUM(E5:E9)</f>
        <v>2391</v>
      </c>
      <c r="F10" s="12">
        <f t="shared" ref="F10:H10" si="3">SUM(F5:F9)</f>
        <v>263.01</v>
      </c>
      <c r="G10" s="12">
        <f t="shared" si="3"/>
        <v>478.20000000000005</v>
      </c>
      <c r="H10" s="12">
        <f t="shared" si="3"/>
        <v>2127.9900000000002</v>
      </c>
    </row>
    <row r="12" spans="2:8" ht="28.8" customHeight="1" x14ac:dyDescent="0.25">
      <c r="B12" s="14" t="s">
        <v>17</v>
      </c>
      <c r="C12" s="15"/>
    </row>
    <row r="13" spans="2:8" ht="28.8" customHeight="1" x14ac:dyDescent="0.25">
      <c r="B13" s="1" t="s">
        <v>13</v>
      </c>
      <c r="C13" s="11">
        <v>0.11</v>
      </c>
    </row>
    <row r="14" spans="2:8" ht="36.6" customHeight="1" x14ac:dyDescent="0.25">
      <c r="B14" s="1" t="s">
        <v>14</v>
      </c>
      <c r="C14" s="11">
        <v>0.2</v>
      </c>
    </row>
  </sheetData>
  <mergeCells count="3">
    <mergeCell ref="B2:F3"/>
    <mergeCell ref="B10:D10"/>
    <mergeCell ref="B12:C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3AB80-33CD-4B71-98C5-62925F673A65}">
  <dimension ref="B2:F8"/>
  <sheetViews>
    <sheetView tabSelected="1" workbookViewId="0">
      <selection activeCell="D10" sqref="D10"/>
    </sheetView>
  </sheetViews>
  <sheetFormatPr defaultRowHeight="31.8" customHeight="1" x14ac:dyDescent="0.25"/>
  <cols>
    <col min="1" max="1" width="8.88671875" style="20"/>
    <col min="2" max="2" width="30.6640625" style="20" bestFit="1" customWidth="1"/>
    <col min="3" max="3" width="19.109375" style="20" customWidth="1"/>
    <col min="4" max="4" width="19.21875" style="20" customWidth="1"/>
    <col min="5" max="5" width="17" style="20" customWidth="1"/>
    <col min="6" max="6" width="18" style="20" customWidth="1"/>
    <col min="7" max="16384" width="8.88671875" style="20"/>
  </cols>
  <sheetData>
    <row r="2" spans="2:6" ht="31.8" customHeight="1" x14ac:dyDescent="0.25">
      <c r="B2" s="25" t="s">
        <v>22</v>
      </c>
      <c r="C2" s="26"/>
      <c r="D2" s="26"/>
      <c r="E2" s="27"/>
      <c r="F2" s="22" t="s">
        <v>23</v>
      </c>
    </row>
    <row r="3" spans="2:6" ht="31.8" customHeight="1" x14ac:dyDescent="0.25">
      <c r="B3" s="28"/>
      <c r="C3" s="29"/>
      <c r="D3" s="29"/>
      <c r="E3" s="30"/>
      <c r="F3" s="24">
        <v>2018</v>
      </c>
    </row>
    <row r="4" spans="2:6" ht="31.8" customHeight="1" x14ac:dyDescent="0.25">
      <c r="B4" s="23" t="s">
        <v>18</v>
      </c>
      <c r="C4" s="23" t="s">
        <v>24</v>
      </c>
      <c r="D4" s="23" t="s">
        <v>25</v>
      </c>
      <c r="E4" s="23" t="s">
        <v>26</v>
      </c>
      <c r="F4" s="23" t="s">
        <v>27</v>
      </c>
    </row>
    <row r="5" spans="2:6" ht="31.8" customHeight="1" x14ac:dyDescent="0.25">
      <c r="B5" s="31" t="s">
        <v>19</v>
      </c>
      <c r="C5" s="32"/>
      <c r="D5" s="32"/>
      <c r="E5" s="32"/>
      <c r="F5" s="32"/>
    </row>
    <row r="6" spans="2:6" ht="31.8" customHeight="1" x14ac:dyDescent="0.25">
      <c r="B6" s="31" t="s">
        <v>20</v>
      </c>
      <c r="C6" s="33">
        <f>'RPA-set2018'!E10</f>
        <v>2500</v>
      </c>
      <c r="D6" s="33">
        <f>'RPA-set2018'!F10</f>
        <v>275</v>
      </c>
      <c r="E6" s="33">
        <f>'RPA-set2018'!G10</f>
        <v>500</v>
      </c>
      <c r="F6" s="33">
        <f>'RPA-set2018'!H10</f>
        <v>2225</v>
      </c>
    </row>
    <row r="7" spans="2:6" ht="31.8" customHeight="1" x14ac:dyDescent="0.25">
      <c r="B7" s="31" t="s">
        <v>28</v>
      </c>
      <c r="C7" s="33">
        <f>'RPA-out2018'!E10</f>
        <v>2391</v>
      </c>
      <c r="D7" s="33">
        <f>'RPA-out2018'!F10</f>
        <v>263.01</v>
      </c>
      <c r="E7" s="33">
        <f>'RPA-out2018'!G10</f>
        <v>478.20000000000005</v>
      </c>
      <c r="F7" s="33">
        <f>'RPA-out2018'!H10</f>
        <v>2127.9900000000002</v>
      </c>
    </row>
    <row r="8" spans="2:6" ht="31.8" customHeight="1" x14ac:dyDescent="0.25">
      <c r="B8" s="21" t="s">
        <v>21</v>
      </c>
      <c r="C8" s="34">
        <f>SUM(C5:C6)</f>
        <v>2500</v>
      </c>
      <c r="D8" s="34">
        <f t="shared" ref="D8:F8" si="0">SUM(D5:D6)</f>
        <v>275</v>
      </c>
      <c r="E8" s="34">
        <f t="shared" si="0"/>
        <v>500</v>
      </c>
      <c r="F8" s="34">
        <f t="shared" si="0"/>
        <v>2225</v>
      </c>
    </row>
  </sheetData>
  <mergeCells count="1">
    <mergeCell ref="B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Loran Kevin</dc:creator>
  <cp:lastModifiedBy>Kevin Loran Kevin</cp:lastModifiedBy>
  <dcterms:created xsi:type="dcterms:W3CDTF">2026-10-26T01:59:24Z</dcterms:created>
  <dcterms:modified xsi:type="dcterms:W3CDTF">2026-10-26T17:40:53Z</dcterms:modified>
</cp:coreProperties>
</file>